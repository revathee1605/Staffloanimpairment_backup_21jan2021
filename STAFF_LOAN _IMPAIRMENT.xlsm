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C:\Users\RB-MU_Robot_PCG_01\Desktop\STAFF LOAN IMPAIRMENT\"/>
    </mc:Choice>
  </mc:AlternateContent>
  <bookViews>
    <workbookView xWindow="-120" yWindow="-120" windowWidth="19440" windowHeight="10440" tabRatio="599"/>
  </bookViews>
  <sheets>
    <sheet name="Setup" sheetId="1" r:id="rId1"/>
    <sheet name="Email Configuration" sheetId="2" r:id="rId2"/>
  </sheets>
  <functionGroups builtInGroupCount="18"/>
  <definedNames>
    <definedName name="_xlnm._FilterDatabase" localSheetId="0" hidden="1">Setup!$D$10:$E$12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1" l="1"/>
  <c r="R5" i="1"/>
  <c r="Q7" i="1" l="1"/>
  <c r="Q25" i="1" s="1"/>
  <c r="Q21" i="1"/>
  <c r="U5" i="1"/>
  <c r="U17" i="1" s="1"/>
  <c r="Q6" i="1"/>
  <c r="U6" i="1"/>
  <c r="H5" i="1"/>
  <c r="H7" i="1"/>
  <c r="E37" i="1"/>
  <c r="E22" i="1"/>
  <c r="Q17" i="1"/>
  <c r="E18" i="1"/>
  <c r="Q12" i="1"/>
  <c r="E15" i="1"/>
  <c r="E7" i="1"/>
  <c r="E8" i="1"/>
  <c r="E5" i="1"/>
  <c r="E6" i="1"/>
  <c r="E4" i="1"/>
  <c r="Q13" i="1"/>
  <c r="Q14" i="1"/>
  <c r="Q15" i="1"/>
  <c r="Q22" i="1" l="1"/>
  <c r="Q23" i="1" s="1"/>
  <c r="Q26" i="1"/>
  <c r="E17" i="1"/>
  <c r="E19" i="1"/>
  <c r="U15" i="1"/>
  <c r="E39" i="1" s="1"/>
  <c r="U14" i="1"/>
  <c r="F14" i="1" s="1"/>
  <c r="U12" i="1"/>
  <c r="E23" i="1" s="1"/>
  <c r="U13" i="1"/>
  <c r="E20" i="1"/>
  <c r="F20" i="1"/>
  <c r="H38" i="1"/>
  <c r="Q16" i="1"/>
  <c r="Q18" i="1"/>
  <c r="F38" i="1"/>
  <c r="F33" i="1"/>
  <c r="F34" i="1"/>
  <c r="E33" i="1"/>
  <c r="F21" i="1"/>
  <c r="E43" i="1"/>
  <c r="E16" i="1"/>
  <c r="F16" i="1"/>
  <c r="E38" i="1"/>
  <c r="E34" i="1"/>
  <c r="E21" i="1"/>
  <c r="E11" i="1"/>
  <c r="E10" i="1"/>
  <c r="E27" i="1" l="1"/>
  <c r="Q24" i="1"/>
  <c r="E14" i="1"/>
  <c r="E26" i="1"/>
  <c r="U18" i="1"/>
  <c r="F28" i="1" s="1"/>
  <c r="U16" i="1"/>
  <c r="E40" i="1" s="1"/>
  <c r="F35" i="1"/>
  <c r="F41" i="1"/>
  <c r="E41" i="1"/>
  <c r="E35" i="1"/>
  <c r="F7" i="1"/>
  <c r="G7" i="1" s="1"/>
  <c r="F5" i="1"/>
  <c r="G5" i="1" s="1"/>
  <c r="E28" i="1" l="1"/>
  <c r="F40" i="1"/>
</calcChain>
</file>

<file path=xl/sharedStrings.xml><?xml version="1.0" encoding="utf-8"?>
<sst xmlns="http://schemas.openxmlformats.org/spreadsheetml/2006/main" count="140" uniqueCount="87">
  <si>
    <t>bsysu015.zip</t>
  </si>
  <si>
    <t>bsysu186.zip</t>
  </si>
  <si>
    <t>bsysu015.30a</t>
  </si>
  <si>
    <t>bsysu186.30a</t>
  </si>
  <si>
    <t>Path</t>
  </si>
  <si>
    <t>File</t>
  </si>
  <si>
    <t>Extracted path</t>
  </si>
  <si>
    <t>0.3 Mauritius from previous month</t>
  </si>
  <si>
    <t>BE-5452RAN0520 (Staff Loans IBD) from previous month</t>
  </si>
  <si>
    <t>path current month</t>
  </si>
  <si>
    <t>Onshore Journal</t>
  </si>
  <si>
    <t>BE-5452RAN0520 (Staff Loans IBD) from current month</t>
  </si>
  <si>
    <t>Month Joiners Leavers List year</t>
  </si>
  <si>
    <t>0.1 Data from previous month</t>
  </si>
  <si>
    <t>0.2 Terminated Loans from previous month</t>
  </si>
  <si>
    <t>0.1 Data from current month</t>
  </si>
  <si>
    <t>0.2 Terminated Loans from current month</t>
  </si>
  <si>
    <t>0.3 Mauritius from current month</t>
  </si>
  <si>
    <t>bsysu015.xls</t>
  </si>
  <si>
    <t>bsysu186.xls</t>
  </si>
  <si>
    <t>BE-5452RAN03 STAFF LOAN DIFF From previous month</t>
  </si>
  <si>
    <t>BE-5452RAN03 STAFF LOAN DIFF From current month</t>
  </si>
  <si>
    <t>Files from current month</t>
  </si>
  <si>
    <t>Files from previous month</t>
  </si>
  <si>
    <t>Offshore Journal</t>
  </si>
  <si>
    <t>Path of exchange rate</t>
  </si>
  <si>
    <t>Path of Joiner leavers previous month</t>
  </si>
  <si>
    <t>Path of Joiner leavers current month</t>
  </si>
  <si>
    <t>Exchange Rate File current month</t>
  </si>
  <si>
    <t>Exchange Rate File previous month</t>
  </si>
  <si>
    <t>FileFromBankOfMauritius from current month</t>
  </si>
  <si>
    <t>FileFromBankOfMauritius from previous month</t>
  </si>
  <si>
    <t>Onshore Final Extract 'Month''Year'AP from previous month</t>
  </si>
  <si>
    <t>Onshore Final Extract 'Month''Year'AP current month</t>
  </si>
  <si>
    <t>path previous month</t>
  </si>
  <si>
    <t>Path from Bank of Mauritius</t>
  </si>
  <si>
    <t xml:space="preserve">Check Onshore File </t>
  </si>
  <si>
    <t>Onshore Final  Path</t>
  </si>
  <si>
    <t>To</t>
  </si>
  <si>
    <t>CC</t>
  </si>
  <si>
    <t>BCC</t>
  </si>
  <si>
    <t>Subject</t>
  </si>
  <si>
    <t>Body</t>
  </si>
  <si>
    <t>Staff Loan Impairement [NOTIFICATION]</t>
  </si>
  <si>
    <t>Robot</t>
  </si>
  <si>
    <t>Employee code contain N/A in 0.1 Data file.</t>
  </si>
  <si>
    <t>Stop process and send mail to user.</t>
  </si>
  <si>
    <t>Kind regards,</t>
  </si>
  <si>
    <t>Cell difference value is not Nil in 0.1 Data file.</t>
  </si>
  <si>
    <t>Cell value next to cell "Check" is not zero in 0.3 Mauritius file.</t>
  </si>
  <si>
    <t>Column J(Paysite) contain N/A in 0.1 Data file.</t>
  </si>
  <si>
    <t>Whole process has been completed.</t>
  </si>
  <si>
    <t>Sum of Post Key 40 and 50 does not tally</t>
  </si>
  <si>
    <t>GL beginning with 4 has Profit Centre and the rest has Cost Centre</t>
  </si>
  <si>
    <t>`</t>
  </si>
  <si>
    <t>Logging</t>
  </si>
  <si>
    <t>Stopped at</t>
  </si>
  <si>
    <t>Number</t>
  </si>
  <si>
    <t>MUPCGRobot@absa.africa</t>
  </si>
  <si>
    <t>N/A is present in column Repayment(0.1 Data file)</t>
  </si>
  <si>
    <t>Cell E28 is not zero.</t>
  </si>
  <si>
    <t>Difference does not tally with VELS(L16 not equal to D29 or Cell E29 is not zero).</t>
  </si>
  <si>
    <t>Sheet for exchange rate file</t>
  </si>
  <si>
    <t>DATE PROCESS IS BEING RUN</t>
  </si>
  <si>
    <t>Manual Intervention</t>
  </si>
  <si>
    <t>Current</t>
  </si>
  <si>
    <t>Current - 1</t>
  </si>
  <si>
    <t>Dates</t>
  </si>
  <si>
    <t>End of month date(DD.MM.YYYY)</t>
  </si>
  <si>
    <t>End of month and year(MMYY)</t>
  </si>
  <si>
    <t>year(YYYY)</t>
  </si>
  <si>
    <t>month(MM MMM)</t>
  </si>
  <si>
    <t>month(MM)</t>
  </si>
  <si>
    <t>month and year(MMM YYYY)</t>
  </si>
  <si>
    <t>month(MM MMM YYYY)</t>
  </si>
  <si>
    <t>Month(MMMM)</t>
  </si>
  <si>
    <t>month and year(MMM YY)</t>
  </si>
  <si>
    <t>The last working day of the month(MM/DD/YYYY)</t>
  </si>
  <si>
    <t>Random date for month(MM/DD/YYYY)</t>
  </si>
  <si>
    <t>End of month date(MM.DD.YYYY)</t>
  </si>
  <si>
    <t>End of month date(DD.MM.YYYY) -  CELL N1(sheet data file 0.1 data)</t>
  </si>
  <si>
    <t>End of month date(DD.MM.YYYY) -  check maturity date</t>
  </si>
  <si>
    <t>Current date(yyyymmdd)</t>
  </si>
  <si>
    <t>The last working day of the month(YYYYMMDD)</t>
  </si>
  <si>
    <t>12 Dec 2020</t>
  </si>
  <si>
    <t>20200125</t>
  </si>
  <si>
    <t xml:space="preserve">Sheet Pivot 2 column F,G,N,O - Error #DIV/0!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</si>
</sst>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42729"/>
      <name val="Inherit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11"/>
      <color rgb="FF202124"/>
      <name val="Arial"/>
      <family val="2"/>
    </font>
    <font>
      <sz val="12"/>
      <color rgb="FF0A010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0" borderId="0" xfId="0" applyFont="1" applyFill="1" applyAlignment="1"/>
    <xf numFmtId="0" fontId="0" fillId="5" borderId="0" xfId="0" applyFill="1"/>
    <xf numFmtId="0" fontId="1" fillId="6" borderId="0" xfId="0" applyFont="1" applyFill="1"/>
    <xf numFmtId="0" fontId="4" fillId="0" borderId="0" xfId="0" applyFont="1" applyAlignment="1">
      <alignment horizontal="left" vertical="center"/>
    </xf>
    <xf numFmtId="0" fontId="3" fillId="6" borderId="0" xfId="0" applyFont="1" applyFill="1"/>
    <xf numFmtId="0" fontId="2" fillId="6" borderId="0" xfId="0" applyFont="1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" fillId="0" borderId="0" xfId="0" applyFont="1" applyFill="1"/>
    <xf numFmtId="0" fontId="1" fillId="10" borderId="0" xfId="0" applyFont="1" applyFill="1"/>
    <xf numFmtId="0" fontId="0" fillId="0" borderId="0" xfId="0" applyFill="1"/>
    <xf numFmtId="0" fontId="0" fillId="12" borderId="0" xfId="0" applyFill="1"/>
    <xf numFmtId="0" fontId="0" fillId="6" borderId="0" xfId="0" applyFill="1"/>
    <xf numFmtId="0" fontId="1" fillId="4" borderId="0" xfId="0" applyFont="1" applyFill="1"/>
    <xf numFmtId="0" fontId="0" fillId="13" borderId="0" xfId="0" applyFill="1"/>
    <xf numFmtId="0" fontId="1" fillId="14" borderId="0" xfId="0" applyFont="1" applyFill="1"/>
    <xf numFmtId="0" fontId="1" fillId="15" borderId="0" xfId="0" applyFont="1" applyFill="1"/>
    <xf numFmtId="0" fontId="1" fillId="11" borderId="0" xfId="0" applyFont="1" applyFill="1"/>
    <xf numFmtId="0" fontId="0" fillId="16" borderId="0" xfId="0" applyFill="1"/>
    <xf numFmtId="0" fontId="0" fillId="17" borderId="0" xfId="0" applyFill="1"/>
    <xf numFmtId="0" fontId="1" fillId="18" borderId="0" xfId="0" applyFont="1" applyFill="1"/>
    <xf numFmtId="0" fontId="5" fillId="8" borderId="0" xfId="0" applyFont="1" applyFill="1"/>
    <xf numFmtId="0" fontId="0" fillId="19" borderId="0" xfId="0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/>
    <xf numFmtId="0" fontId="0" fillId="4" borderId="0" xfId="0" applyFill="1"/>
    <xf numFmtId="0" fontId="6" fillId="7" borderId="0" xfId="1" applyFill="1"/>
    <xf numFmtId="14" fontId="0" fillId="0" borderId="0" xfId="0" applyNumberFormat="1" applyFill="1"/>
    <xf numFmtId="0" fontId="8" fillId="0" borderId="0" xfId="0" applyFont="1" applyFill="1"/>
    <xf numFmtId="0" fontId="0" fillId="15" borderId="0" xfId="0" applyFill="1"/>
    <xf numFmtId="0" fontId="0" fillId="22" borderId="0" xfId="0" applyFill="1"/>
    <xf numFmtId="14" fontId="5" fillId="8" borderId="0" xfId="0" applyNumberFormat="1" applyFont="1" applyFill="1"/>
    <xf numFmtId="0" fontId="5" fillId="24" borderId="0" xfId="0" applyFont="1" applyFill="1"/>
    <xf numFmtId="14" fontId="5" fillId="24" borderId="0" xfId="0" applyNumberFormat="1" applyFont="1" applyFill="1"/>
    <xf numFmtId="0" fontId="0" fillId="25" borderId="0" xfId="0" applyFill="1"/>
    <xf numFmtId="14" fontId="0" fillId="0" borderId="0" xfId="0" applyNumberFormat="1"/>
    <xf numFmtId="0" fontId="0" fillId="26" borderId="0" xfId="0" applyFill="1"/>
    <xf numFmtId="0" fontId="0" fillId="27" borderId="0" xfId="0" applyFill="1"/>
    <xf numFmtId="0" fontId="0" fillId="23" borderId="0" xfId="0" applyFill="1"/>
    <xf numFmtId="0" fontId="5" fillId="23" borderId="0" xfId="0" applyFont="1" applyFill="1"/>
    <xf numFmtId="0" fontId="7" fillId="20" borderId="0" xfId="0" applyFont="1" applyFill="1"/>
    <xf numFmtId="14" fontId="9" fillId="0" borderId="0" xfId="0" applyNumberFormat="1" applyFont="1"/>
    <xf numFmtId="0" fontId="10" fillId="0" borderId="0" xfId="0" applyFont="1"/>
    <xf numFmtId="14" fontId="11" fillId="27" borderId="0" xfId="0" applyNumberFormat="1" applyFont="1" applyFill="1" applyAlignment="1">
      <alignment horizontal="left"/>
    </xf>
    <xf numFmtId="0" fontId="0" fillId="28" borderId="0" xfId="0" applyFill="1"/>
    <xf numFmtId="49" fontId="0" fillId="28" borderId="0" xfId="0" applyNumberFormat="1" applyFill="1"/>
    <xf numFmtId="0" fontId="1" fillId="4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5" fillId="2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1588</xdr:colOff>
      <xdr:row>8</xdr:row>
      <xdr:rowOff>17463</xdr:rowOff>
    </xdr:from>
    <xdr:to>
      <xdr:col>11</xdr:col>
      <xdr:colOff>869157</xdr:colOff>
      <xdr:row>9</xdr:row>
      <xdr:rowOff>107156</xdr:rowOff>
    </xdr:to>
    <xdr:sp macro="[0]!runTas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768088" y="155336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/>
            <a:t>STAFF LOAN PROCESS - ALL</a:t>
          </a:r>
        </a:p>
      </xdr:txBody>
    </xdr:sp>
    <xdr:clientData/>
  </xdr:twoCellAnchor>
  <xdr:twoCellAnchor>
    <xdr:from>
      <xdr:col>10</xdr:col>
      <xdr:colOff>11112</xdr:colOff>
      <xdr:row>11</xdr:row>
      <xdr:rowOff>26988</xdr:rowOff>
    </xdr:from>
    <xdr:to>
      <xdr:col>11</xdr:col>
      <xdr:colOff>878681</xdr:colOff>
      <xdr:row>12</xdr:row>
      <xdr:rowOff>116681</xdr:rowOff>
    </xdr:to>
    <xdr:sp macro="[0]!clear_Logg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777612" y="2134394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Clear</a:t>
          </a:r>
          <a:r>
            <a:rPr lang="en-US" sz="1100" b="1" i="1" baseline="0"/>
            <a:t> Logs</a:t>
          </a:r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UPCGRobot@absa.africa" TargetMode="External"/><Relationship Id="rId1" Type="http://schemas.openxmlformats.org/officeDocument/2006/relationships/hyperlink" Target="mailto:MUPCGRobot@absa.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4"/>
  <sheetViews>
    <sheetView tabSelected="1" topLeftCell="I1" zoomScale="80" zoomScaleNormal="80" workbookViewId="0">
      <selection activeCell="M7" sqref="M7"/>
    </sheetView>
  </sheetViews>
  <sheetFormatPr defaultRowHeight="15"/>
  <cols>
    <col min="1" max="2" width="0" hidden="1" customWidth="1"/>
    <col min="3" max="3" width="19.28515625" style="1" customWidth="1"/>
    <col min="4" max="4" width="56.7109375" style="1" customWidth="1"/>
    <col min="5" max="5" width="213.5703125" bestFit="1" customWidth="1"/>
    <col min="6" max="6" width="40.28515625" customWidth="1"/>
    <col min="7" max="7" width="16.42578125" customWidth="1"/>
    <col min="8" max="8" width="175.5703125" bestFit="1" customWidth="1"/>
    <col min="9" max="9" width="20.42578125" customWidth="1"/>
    <col min="11" max="11" width="13.5703125" customWidth="1"/>
    <col min="12" max="12" width="23.42578125" customWidth="1"/>
    <col min="15" max="15" width="10.5703125" bestFit="1" customWidth="1"/>
    <col min="16" max="16" width="68" bestFit="1" customWidth="1"/>
    <col min="17" max="17" width="13" bestFit="1" customWidth="1"/>
    <col min="18" max="18" width="12" bestFit="1" customWidth="1"/>
    <col min="20" max="20" width="36.5703125" bestFit="1" customWidth="1"/>
    <col min="21" max="21" width="12.28515625" bestFit="1" customWidth="1"/>
  </cols>
  <sheetData>
    <row r="1" spans="1:21">
      <c r="O1" s="40"/>
    </row>
    <row r="2" spans="1:21">
      <c r="A2" s="40">
        <v>44225</v>
      </c>
      <c r="P2" s="53" t="s">
        <v>63</v>
      </c>
      <c r="Q2" s="53"/>
      <c r="R2" s="53"/>
      <c r="S2" s="53"/>
      <c r="T2" s="53"/>
      <c r="U2" s="53"/>
    </row>
    <row r="3" spans="1:21">
      <c r="D3" s="5"/>
      <c r="E3" s="5" t="s">
        <v>4</v>
      </c>
      <c r="F3" s="5" t="s">
        <v>5</v>
      </c>
      <c r="G3" s="7"/>
      <c r="H3" s="8"/>
      <c r="I3" s="16"/>
      <c r="K3" s="43"/>
      <c r="L3" s="44" t="s">
        <v>56</v>
      </c>
      <c r="M3" s="44" t="s">
        <v>57</v>
      </c>
      <c r="P3" s="25" t="s">
        <v>64</v>
      </c>
      <c r="Q3" s="25" t="s">
        <v>65</v>
      </c>
      <c r="T3" s="25" t="s">
        <v>64</v>
      </c>
      <c r="U3" s="36" t="s">
        <v>66</v>
      </c>
    </row>
    <row r="4" spans="1:21" ht="15.75">
      <c r="C4" s="3"/>
      <c r="D4" s="17" t="s">
        <v>0</v>
      </c>
      <c r="E4" s="10" t="str">
        <f ca="1">(LEFT(CELL("filename",A1),SEARCH("[",CELL("filename",A1))-1))&amp; "zipFiles" &amp;"\"&amp;Q5&amp;"\"&amp;"bsysu015"&amp;".zip"</f>
        <v>C:\Users\RB-MU_Robot_PCG_01\Desktop\STAFF LOAN IMPAIRMENT\zipFiles\12 Dec 2020\bsysu015.zip</v>
      </c>
      <c r="K4" s="45" t="s">
        <v>55</v>
      </c>
      <c r="L4" s="39"/>
      <c r="M4" s="39">
        <v>1</v>
      </c>
      <c r="P4" s="37" t="s">
        <v>67</v>
      </c>
      <c r="Q4" s="37"/>
      <c r="T4" s="37" t="s">
        <v>67</v>
      </c>
      <c r="U4" s="38"/>
    </row>
    <row r="5" spans="1:21">
      <c r="C5" s="3"/>
      <c r="D5" s="17" t="s">
        <v>2</v>
      </c>
      <c r="E5" s="10" t="str">
        <f ca="1">(LEFT(CELL("filename",A1),SEARCH("[",CELL("filename",A1))-1))&amp; "zipFiles" &amp;"\"&amp;Q5&amp;"\"&amp;"bsysu015"&amp;".30a"</f>
        <v>C:\Users\RB-MU_Robot_PCG_01\Desktop\STAFF LOAN IMPAIRMENT\zipFiles\12 Dec 2020\bsysu015.30a</v>
      </c>
      <c r="F5" s="10" t="str">
        <f ca="1">TRIM(RIGHT(SUBSTITUTE(E5, "\",REPT(" \",1)),12))</f>
        <v>bsysu015.30a</v>
      </c>
      <c r="G5" s="10" t="str">
        <f ca="1">TRIM(LEFT(SUBSTITUTE(F5, "\",REPT(" \",1)),8))</f>
        <v>bsysu015</v>
      </c>
      <c r="H5" s="10" t="str">
        <f ca="1">(LEFT(CELL("filename",A1),SEARCH("[",CELL("filename",A1))-1))&amp; "zipFiles" &amp;"\"&amp;Q5&amp;"\"&amp;"bsysu015"&amp;".xls"</f>
        <v>C:\Users\RB-MU_Robot_PCG_01\Desktop\STAFF LOAN IMPAIRMENT\zipFiles\12 Dec 2020\bsysu015.xls</v>
      </c>
      <c r="I5" s="10" t="s">
        <v>18</v>
      </c>
      <c r="P5" s="49" t="s">
        <v>74</v>
      </c>
      <c r="Q5" s="50" t="s">
        <v>84</v>
      </c>
      <c r="R5" s="49" t="str">
        <f ca="1">TEXT(EOMONTH(NOW(),0),"MM MMM YYYY")</f>
        <v>01 Jan 2021</v>
      </c>
      <c r="T5" s="18" t="s">
        <v>71</v>
      </c>
      <c r="U5" s="39" t="str">
        <f>TEXT(EOMONTH(Q5,-1),"MM MMM YYYY")</f>
        <v>11 Nov 2020</v>
      </c>
    </row>
    <row r="6" spans="1:21">
      <c r="C6" s="3"/>
      <c r="D6" s="17" t="s">
        <v>1</v>
      </c>
      <c r="E6" s="10" t="str">
        <f ca="1">(LEFT(CELL("filename",A1),SEARCH("[",CELL("filename",A1))-1))&amp; "zipFiles" &amp;"\"&amp;Q5&amp;"\"&amp;"bsysu186"&amp;".zip"</f>
        <v>C:\Users\RB-MU_Robot_PCG_01\Desktop\STAFF LOAN IMPAIRMENT\zipFiles\12 Dec 2020\bsysu186.zip</v>
      </c>
      <c r="P6" s="18" t="s">
        <v>68</v>
      </c>
      <c r="Q6" s="39" t="str">
        <f>TEXT(EOMONTH(Q5,0),"DD.MM.YYYY")</f>
        <v>31.12.2020</v>
      </c>
      <c r="T6" s="18" t="s">
        <v>68</v>
      </c>
      <c r="U6" s="39" t="str">
        <f>TEXT(EOMONTH(Q5,-1),"DD.MM.YYYY")</f>
        <v>30.11.2020</v>
      </c>
    </row>
    <row r="7" spans="1:21">
      <c r="C7" s="3"/>
      <c r="D7" s="17" t="s">
        <v>3</v>
      </c>
      <c r="E7" s="10" t="str">
        <f ca="1">(LEFT(CELL("filename",A1),SEARCH("[",CELL("filename",A1))-1))&amp; "zipFiles" &amp;"\"&amp;Q5&amp;"\"&amp;"bsysu186"&amp;".30a"</f>
        <v>C:\Users\RB-MU_Robot_PCG_01\Desktop\STAFF LOAN IMPAIRMENT\zipFiles\12 Dec 2020\bsysu186.30a</v>
      </c>
      <c r="F7" s="10" t="str">
        <f ca="1">TRIM(RIGHT(SUBSTITUTE(E7, "\",REPT(" \",1)),12))</f>
        <v>bsysu186.30a</v>
      </c>
      <c r="G7" s="10" t="str">
        <f ca="1">TRIM(LEFT(SUBSTITUTE(F7, "\",REPT(" \",1)),8))</f>
        <v>bsysu186</v>
      </c>
      <c r="H7" s="10" t="str">
        <f ca="1">(LEFT(CELL("filename",A1),SEARCH("[",CELL("filename",A1))-1))&amp; "zipFiles" &amp;"\"&amp;Q5&amp;"\"&amp;"bsysu086"&amp;".xls"</f>
        <v>C:\Users\RB-MU_Robot_PCG_01\Desktop\STAFF LOAN IMPAIRMENT\zipFiles\12 Dec 2020\bsysu086.xls</v>
      </c>
      <c r="I7" s="10" t="s">
        <v>19</v>
      </c>
      <c r="P7" s="18" t="s">
        <v>79</v>
      </c>
      <c r="Q7" s="39" t="str">
        <f>TEXT(EOMONTH(Q5,0),"MM.DD.YYYY")</f>
        <v>12.31.2020</v>
      </c>
      <c r="U7" s="40"/>
    </row>
    <row r="8" spans="1:21">
      <c r="C8" s="3"/>
      <c r="D8" s="17" t="s">
        <v>6</v>
      </c>
      <c r="E8" s="10" t="str">
        <f ca="1">(LEFT(CELL("filename",A1),SEARCH("[",CELL("filename",A1))-1))&amp;"zipFiles"&amp;"\"&amp;Q5&amp;"\"</f>
        <v>C:\Users\RB-MU_Robot_PCG_01\Desktop\STAFF LOAN IMPAIRMENT\zipFiles\12 Dec 2020\</v>
      </c>
      <c r="P8" s="49" t="s">
        <v>82</v>
      </c>
      <c r="Q8" s="50" t="s">
        <v>85</v>
      </c>
      <c r="R8" s="49" t="str">
        <f ca="1">TEXT(TODAY(),"YYYYMMDD")</f>
        <v>20210121</v>
      </c>
      <c r="U8" s="40"/>
    </row>
    <row r="9" spans="1:21">
      <c r="C9" s="3"/>
      <c r="D9" s="12"/>
      <c r="E9" s="14"/>
      <c r="P9" s="47"/>
      <c r="U9" s="40"/>
    </row>
    <row r="10" spans="1:21">
      <c r="D10" s="17" t="s">
        <v>35</v>
      </c>
      <c r="E10" s="10" t="str">
        <f ca="1">(LEFT(CELL("filename",A1),SEARCH("[",CELL("filename",A1))-1))&amp;"Bank of Mauritius"&amp;"\"&amp;Q12&amp;""</f>
        <v>C:\Users\RB-MU_Robot_PCG_01\Desktop\STAFF LOAN IMPAIRMENT\Bank of Mauritius\2020</v>
      </c>
      <c r="U10" s="40"/>
    </row>
    <row r="11" spans="1:21">
      <c r="D11" s="17" t="s">
        <v>30</v>
      </c>
      <c r="E11" s="10" t="str">
        <f ca="1">(LEFT(CELL("filename",A1),SEARCH("[",CELL("filename",A1))-1))&amp;"Bank of Mauritius"&amp;"\"&amp;Q12&amp;"\"&amp;Q13</f>
        <v>C:\Users\RB-MU_Robot_PCG_01\Desktop\STAFF LOAN IMPAIRMENT\Bank of Mauritius\2020\12 Dec</v>
      </c>
      <c r="U11" s="40"/>
    </row>
    <row r="12" spans="1:21">
      <c r="D12" s="17" t="s">
        <v>31</v>
      </c>
      <c r="E12" s="14"/>
      <c r="P12" s="41" t="s">
        <v>70</v>
      </c>
      <c r="Q12" s="42" t="str">
        <f>RIGHT(Q5,4)</f>
        <v>2020</v>
      </c>
      <c r="T12" s="41" t="s">
        <v>70</v>
      </c>
      <c r="U12" s="42" t="str">
        <f>RIGHT(U5,4)</f>
        <v>2020</v>
      </c>
    </row>
    <row r="13" spans="1:21">
      <c r="D13" s="12"/>
      <c r="P13" s="41" t="s">
        <v>71</v>
      </c>
      <c r="Q13" s="42" t="str">
        <f>LEFT(Q5,6)</f>
        <v>12 Dec</v>
      </c>
      <c r="T13" s="41" t="s">
        <v>71</v>
      </c>
      <c r="U13" s="42" t="str">
        <f>LEFT(U5,6)</f>
        <v>11 Nov</v>
      </c>
    </row>
    <row r="14" spans="1:21">
      <c r="C14" s="51" t="s">
        <v>24</v>
      </c>
      <c r="D14" s="2" t="s">
        <v>8</v>
      </c>
      <c r="E14" s="9" t="str">
        <f ca="1">(LEFT(CELL("filename",A1),SEARCH("[",CELL("filename",A1))-1))&amp;"datafile\"&amp;U5&amp;"\"&amp;"BE-5452RAN"&amp;U14&amp;" "&amp;"(Staff Loans IBD)"&amp;".xls"</f>
        <v>C:\Users\RB-MU_Robot_PCG_01\Desktop\STAFF LOAN IMPAIRMENT\datafile\11 Nov 2020\BE-5452RAN11 (Staff Loans IBD).xls</v>
      </c>
      <c r="F14" s="9" t="str">
        <f>"BE-5452RAN"&amp;U14&amp;" "&amp;"(Staff Loans IBD)"&amp;".xls"</f>
        <v>BE-5452RAN11 (Staff Loans IBD).xls</v>
      </c>
      <c r="P14" s="41" t="s">
        <v>72</v>
      </c>
      <c r="Q14" s="42" t="str">
        <f>LEFT(Q5,2)</f>
        <v>12</v>
      </c>
      <c r="T14" s="41" t="s">
        <v>72</v>
      </c>
      <c r="U14" s="42" t="str">
        <f>LEFT(U5,2)</f>
        <v>11</v>
      </c>
    </row>
    <row r="15" spans="1:21">
      <c r="C15" s="51"/>
      <c r="D15" s="2" t="s">
        <v>9</v>
      </c>
      <c r="E15" s="9" t="str">
        <f ca="1">(LEFT(CELL("filename",A2),SEARCH("[",CELL("filename",A2))-1))&amp;"datafile\"&amp;Q5&amp;"\"</f>
        <v>C:\Users\RB-MU_Robot_PCG_01\Desktop\STAFF LOAN IMPAIRMENT\datafile\12 Dec 2020\</v>
      </c>
      <c r="P15" s="41" t="s">
        <v>73</v>
      </c>
      <c r="Q15" s="42" t="str">
        <f>RIGHT(Q5,8)</f>
        <v>Dec 2020</v>
      </c>
      <c r="T15" s="41" t="s">
        <v>73</v>
      </c>
      <c r="U15" s="42" t="str">
        <f>RIGHT(U5,8)</f>
        <v>Nov 2020</v>
      </c>
    </row>
    <row r="16" spans="1:21">
      <c r="C16" s="51"/>
      <c r="D16" s="2" t="s">
        <v>11</v>
      </c>
      <c r="E16" s="9" t="str">
        <f ca="1">(LEFT(CELL("filename",A2),SEARCH("[",CELL("filename",A2))-1))&amp;"datafile\"&amp;Q5&amp;"\"&amp;"BE-5452RAN"&amp;Q14&amp;" "&amp;"(Staff Loans IBD)"&amp;".xls"</f>
        <v>C:\Users\RB-MU_Robot_PCG_01\Desktop\STAFF LOAN IMPAIRMENT\datafile\12 Dec 2020\BE-5452RAN12 (Staff Loans IBD).xls</v>
      </c>
      <c r="F16" s="9" t="str">
        <f>"BE-5452RAN"&amp;Q14&amp;" "&amp;"(Staff Loans IBD)"&amp;".xls"</f>
        <v>BE-5452RAN12 (Staff Loans IBD).xls</v>
      </c>
      <c r="P16" s="41" t="s">
        <v>69</v>
      </c>
      <c r="Q16" s="42" t="str">
        <f>Q14&amp;RIGHT(Q12,2)</f>
        <v>1220</v>
      </c>
      <c r="T16" s="41" t="s">
        <v>69</v>
      </c>
      <c r="U16" s="42" t="str">
        <f>U14&amp;RIGHT(U12,2)</f>
        <v>1120</v>
      </c>
    </row>
    <row r="17" spans="4:21">
      <c r="D17" s="2" t="s">
        <v>34</v>
      </c>
      <c r="E17" s="9" t="str">
        <f ca="1">(LEFT(CELL("filename",A4),SEARCH("[",CELL("filename",A4))-1))&amp;"datafile\"&amp;U5&amp;"\"</f>
        <v>C:\Users\RB-MU_Robot_PCG_01\Desktop\STAFF LOAN IMPAIRMENT\datafile\11 Nov 2020\</v>
      </c>
      <c r="P17" s="41" t="s">
        <v>75</v>
      </c>
      <c r="Q17" s="42" t="str">
        <f>TEXT(Q5,"MMMM")</f>
        <v>December</v>
      </c>
      <c r="T17" s="41" t="s">
        <v>75</v>
      </c>
      <c r="U17" s="42" t="str">
        <f>TEXT(U5,"MMMM")</f>
        <v>November</v>
      </c>
    </row>
    <row r="18" spans="4:21">
      <c r="D18" s="19" t="s">
        <v>37</v>
      </c>
      <c r="E18" s="15" t="str">
        <f ca="1">(LEFT(CELL("filename",A1),SEARCH("[",CELL("filename",A1))-1))&amp;"onshore final extract\"&amp;Q5&amp;"\"</f>
        <v>C:\Users\RB-MU_Robot_PCG_01\Desktop\STAFF LOAN IMPAIRMENT\onshore final extract\12 Dec 2020\</v>
      </c>
      <c r="P18" s="41" t="s">
        <v>76</v>
      </c>
      <c r="Q18" s="42" t="str">
        <f>LEFT(Q15,3)&amp;" "&amp;RIGHT(Q12,2)</f>
        <v>Dec 20</v>
      </c>
      <c r="T18" s="41" t="s">
        <v>76</v>
      </c>
      <c r="U18" s="42" t="str">
        <f>LEFT(U15,3)&amp;" "&amp;RIGHT(U12,2)</f>
        <v>Nov 20</v>
      </c>
    </row>
    <row r="19" spans="4:21" ht="15.75">
      <c r="D19" s="19" t="s">
        <v>32</v>
      </c>
      <c r="E19" s="15" t="str">
        <f ca="1">(LEFT(CELL("filename",A1),SEARCH("[",CELL("filename",A1))-1))&amp;"onshore final extract\"&amp;U5&amp;"\"&amp;"Onshore final extracts "&amp;U6&amp;".xlsx"</f>
        <v>C:\Users\RB-MU_Robot_PCG_01\Desktop\STAFF LOAN IMPAIRMENT\onshore final extract\11 Nov 2020\Onshore final extracts 30.11.2020.xlsx</v>
      </c>
      <c r="F19" s="14"/>
      <c r="Q19" s="46"/>
    </row>
    <row r="20" spans="4:21">
      <c r="D20" s="19" t="s">
        <v>33</v>
      </c>
      <c r="E20" s="15" t="str">
        <f ca="1">(LEFT(CELL("filename",A2),SEARCH("[",CELL("filename",A2))-1))&amp;"onshore final extract\"&amp;Q5&amp;"\"&amp;"Onshore final extracts "&amp;Q6&amp;".xlsx"</f>
        <v>C:\Users\RB-MU_Robot_PCG_01\Desktop\STAFF LOAN IMPAIRMENT\onshore final extract\12 Dec 2020\Onshore final extracts 31.12.2020.xlsx</v>
      </c>
      <c r="F20" s="15" t="str">
        <f>"Onshore final extracts " &amp;Q6&amp;".xlsx"</f>
        <v>Onshore final extracts 31.12.2020.xlsx</v>
      </c>
    </row>
    <row r="21" spans="4:21" ht="15.75">
      <c r="D21" s="19" t="s">
        <v>12</v>
      </c>
      <c r="E21" s="15" t="str">
        <f ca="1">(LEFT(CELL("filename",A2),SEARCH("[",CELL("filename",A2))-1))&amp;"Joiner leavers\"&amp;Q5&amp;"\"&amp;Q17&amp;" Joiners Leavers List "&amp;Q12&amp;".xlsx"</f>
        <v>C:\Users\RB-MU_Robot_PCG_01\Desktop\STAFF LOAN IMPAIRMENT\Joiner leavers\12 Dec 2020\December Joiners Leavers List 2020.xlsx</v>
      </c>
      <c r="F21" s="15" t="str">
        <f>Q17&amp; " Joiners Leavers List "&amp;Q12&amp;".xlsx"</f>
        <v>December Joiners Leavers List 2020.xlsx</v>
      </c>
      <c r="P21" s="41" t="s">
        <v>78</v>
      </c>
      <c r="Q21" s="48" t="str">
        <f>TEXT(Q5,"MM/DD/YY")</f>
        <v>12/12/20</v>
      </c>
    </row>
    <row r="22" spans="4:21" ht="15.75">
      <c r="D22" s="19" t="s">
        <v>27</v>
      </c>
      <c r="E22" s="15" t="str">
        <f ca="1">(LEFT(CELL("filename",A3),SEARCH("[",CELL("filename",A3))-1))&amp;"Joiner leavers\"&amp;Q5&amp;"\"</f>
        <v>C:\Users\RB-MU_Robot_PCG_01\Desktop\STAFF LOAN IMPAIRMENT\Joiner leavers\12 Dec 2020\</v>
      </c>
      <c r="P22" s="41" t="s">
        <v>77</v>
      </c>
      <c r="Q22" s="48">
        <f>WORKDAY(DATE(YEAR(Q21),MONTH(Q21)+1,1),-1)</f>
        <v>44196</v>
      </c>
    </row>
    <row r="23" spans="4:21">
      <c r="D23" s="19" t="s">
        <v>26</v>
      </c>
      <c r="E23" s="15" t="str">
        <f ca="1">(LEFT(CELL("filename",A2),SEARCH("[",CELL("filename",A2))-1))&amp;"Joiner leavers\"&amp;U5&amp;"\"&amp;U17&amp;" Joiners Leavers List "&amp;U12&amp;".xlsx"</f>
        <v>C:\Users\RB-MU_Robot_PCG_01\Desktop\STAFF LOAN IMPAIRMENT\Joiner leavers\11 Nov 2020\November Joiners Leavers List 2020.xlsx</v>
      </c>
      <c r="P23" s="41" t="s">
        <v>83</v>
      </c>
      <c r="Q23" s="42" t="str">
        <f>TEXT(Q22,"YYYYMMDD")</f>
        <v>20201231</v>
      </c>
    </row>
    <row r="24" spans="4:21">
      <c r="P24" s="41" t="s">
        <v>77</v>
      </c>
      <c r="Q24" s="42" t="str">
        <f>TEXT(Q22,"MM/DD/YYYY")</f>
        <v>12/31/2020</v>
      </c>
    </row>
    <row r="25" spans="4:21">
      <c r="D25" s="27" t="s">
        <v>23</v>
      </c>
      <c r="E25" s="26"/>
      <c r="F25" s="26"/>
      <c r="H25" t="s">
        <v>54</v>
      </c>
      <c r="P25" s="41" t="s">
        <v>80</v>
      </c>
      <c r="Q25" s="42" t="str">
        <f>SUBSTITUTE(Q7, ".", "/")</f>
        <v>12/31/2020</v>
      </c>
    </row>
    <row r="26" spans="4:21">
      <c r="D26" s="20" t="s">
        <v>13</v>
      </c>
      <c r="E26" s="22" t="str">
        <f ca="1">(LEFT(CELL("filename",A1),SEARCH("[",CELL("filename",A1))-1))&amp;"datafile"&amp;"\"&amp;U5&amp;"\"&amp;"0.1 Data "&amp;U15&amp;".xlsx"</f>
        <v>C:\Users\RB-MU_Robot_PCG_01\Desktop\STAFF LOAN IMPAIRMENT\datafile\11 Nov 2020\0.1 Data Nov 2020.xlsx</v>
      </c>
      <c r="P26" s="41" t="s">
        <v>81</v>
      </c>
      <c r="Q26" s="42" t="str">
        <f>LEFT(Q6,2)&amp;"-"&amp;LEFT(Q15,3)&amp;"-"&amp;RIGHT(Q12,2)</f>
        <v>31-Dec-20</v>
      </c>
    </row>
    <row r="27" spans="4:21">
      <c r="D27" s="20" t="s">
        <v>14</v>
      </c>
      <c r="E27" s="22" t="str">
        <f ca="1">(LEFT(CELL("filename",A1),SEARCH("[",CELL("filename",A1))-1))&amp;"datafile"&amp;"\"&amp;TEXT(EOMONTH(NOW(),-1),"MM MMM YYYY")&amp;"\"&amp;"0.2 Terminated Loans "&amp;U15&amp;".xlsx"</f>
        <v>C:\Users\RB-MU_Robot_PCG_01\Desktop\STAFF LOAN IMPAIRMENT\datafile\12 Dec 2020\0.2 Terminated Loans Nov 2020.xlsx</v>
      </c>
    </row>
    <row r="28" spans="4:21">
      <c r="D28" s="20" t="s">
        <v>7</v>
      </c>
      <c r="E28" s="22" t="str">
        <f ca="1">(LEFT(CELL("filename",A1),SEARCH("[",CELL("filename",A1))-1))&amp;"datafile"&amp;"\"&amp;TEXT(EOMONTH(NOW(),-1),"MM MMM YYYY")&amp;"\"&amp;"0.3 Mauritius "&amp;U18&amp;".xlsx"</f>
        <v>C:\Users\RB-MU_Robot_PCG_01\Desktop\STAFF LOAN IMPAIRMENT\datafile\12 Dec 2020\0.3 Mauritius Nov 20.xlsx</v>
      </c>
      <c r="F28" s="22" t="str">
        <f>"0.3 Mauritius "&amp;U18&amp;".xlsx"</f>
        <v>0.3 Mauritius Nov 20.xlsx</v>
      </c>
    </row>
    <row r="30" spans="4:21">
      <c r="D30" s="14"/>
      <c r="E30" s="14"/>
    </row>
    <row r="31" spans="4:21">
      <c r="D31" s="14"/>
      <c r="E31" s="14"/>
      <c r="F31" s="14"/>
    </row>
    <row r="32" spans="4:21">
      <c r="D32" s="25" t="s">
        <v>22</v>
      </c>
      <c r="E32" s="11"/>
      <c r="F32" s="11"/>
    </row>
    <row r="33" spans="3:8">
      <c r="D33" s="21" t="s">
        <v>15</v>
      </c>
      <c r="E33" s="18" t="str">
        <f ca="1">(LEFT(CELL("filename",A8),SEARCH("[",CELL("filename",A8))-1))&amp;"datafile"&amp;"\"&amp;Q5&amp;"\"&amp;"0.1 Data "&amp;Q15&amp;".xlsx"</f>
        <v>C:\Users\RB-MU_Robot_PCG_01\Desktop\STAFF LOAN IMPAIRMENT\datafile\12 Dec 2020\0.1 Data Dec 2020.xlsx</v>
      </c>
      <c r="F33" s="18" t="str">
        <f>"0.1 Data "&amp;Q15&amp;".xlsx"</f>
        <v>0.1 Data Dec 2020.xlsx</v>
      </c>
    </row>
    <row r="34" spans="3:8">
      <c r="D34" s="21" t="s">
        <v>16</v>
      </c>
      <c r="E34" s="18" t="str">
        <f ca="1">(LEFT(CELL("filename",A8),SEARCH("[",CELL("filename",A8))-1))&amp;"datafile"&amp;"\"&amp;Q5&amp;"\"&amp;"0.2 Terminated Loans "&amp;Q15&amp;".xlsx"</f>
        <v>C:\Users\RB-MU_Robot_PCG_01\Desktop\STAFF LOAN IMPAIRMENT\datafile\12 Dec 2020\0.2 Terminated Loans Dec 2020.xlsx</v>
      </c>
      <c r="F34" s="18" t="str">
        <f>"0.2 Terminated Loans "&amp;Q15&amp;".xlsx"</f>
        <v>0.2 Terminated Loans Dec 2020.xlsx</v>
      </c>
    </row>
    <row r="35" spans="3:8">
      <c r="D35" s="21" t="s">
        <v>17</v>
      </c>
      <c r="E35" s="18" t="str">
        <f ca="1">(LEFT(CELL("filename",A8),SEARCH("[",CELL("filename",A8))-1))&amp;"datafile"&amp;"\"&amp;Q5&amp;"\"&amp;"0.3 Mauritius "&amp;Q18&amp;".xlsx"</f>
        <v>C:\Users\RB-MU_Robot_PCG_01\Desktop\STAFF LOAN IMPAIRMENT\datafile\12 Dec 2020\0.3 Mauritius Dec 20.xlsx</v>
      </c>
      <c r="F35" s="18" t="str">
        <f>"0.3 Mauritius "&amp;Q18&amp;".xlsx"</f>
        <v>0.3 Mauritius Dec 20.xlsx</v>
      </c>
    </row>
    <row r="37" spans="3:8">
      <c r="D37" s="13" t="s">
        <v>25</v>
      </c>
      <c r="E37" s="4" t="str">
        <f ca="1">(LEFT(CELL("filename",A2),SEARCH("[",CELL("filename",A2))-1)&amp;"Exchange rate"&amp;"\"&amp;Q5&amp;"\")</f>
        <v>C:\Users\RB-MU_Robot_PCG_01\Desktop\STAFF LOAN IMPAIRMENT\Exchange rate\12 Dec 2020\</v>
      </c>
      <c r="H37" s="34" t="s">
        <v>62</v>
      </c>
    </row>
    <row r="38" spans="3:8">
      <c r="C38" s="12"/>
      <c r="D38" s="13" t="s">
        <v>28</v>
      </c>
      <c r="E38" s="4" t="str">
        <f ca="1">(LEFT(CELL("filename",A1),SEARCH("[",CELL("filename",A1))-1)&amp;"Exchange rate"&amp;"\"&amp;Q5&amp;"\"&amp;Q15&amp;" exchange rates version"&amp;".csv")</f>
        <v>C:\Users\RB-MU_Robot_PCG_01\Desktop\STAFF LOAN IMPAIRMENT\Exchange rate\12 Dec 2020\Dec 2020 exchange rates version.csv</v>
      </c>
      <c r="F38" s="4" t="str">
        <f>Q15&amp;" exchange rates version"&amp;".csv"</f>
        <v>Dec 2020 exchange rates version.csv</v>
      </c>
      <c r="H38" s="35" t="str">
        <f>Q15&amp;" exchange rates version"</f>
        <v>Dec 2020 exchange rates version</v>
      </c>
    </row>
    <row r="39" spans="3:8">
      <c r="C39" s="12"/>
      <c r="D39" s="13" t="s">
        <v>29</v>
      </c>
      <c r="E39" s="4" t="str">
        <f ca="1">(LEFT(CELL("filename",A2),SEARCH("[",CELL("filename",A2))-1)&amp;"Exchange rate"&amp;"\"&amp;U5&amp;"\"&amp;U15&amp;" exchange rates version"&amp;".csv")</f>
        <v>C:\Users\RB-MU_Robot_PCG_01\Desktop\STAFF LOAN IMPAIRMENT\Exchange rate\11 Nov 2020\Nov 2020 exchange rates version.csv</v>
      </c>
      <c r="F39" s="14"/>
    </row>
    <row r="40" spans="3:8">
      <c r="C40" s="52" t="s">
        <v>10</v>
      </c>
      <c r="D40" s="24" t="s">
        <v>20</v>
      </c>
      <c r="E40" s="23" t="str">
        <f ca="1">(LEFT(CELL("filename",A2),SEARCH("[",CELL("filename",A2))-1))&amp;"datafile\"&amp;U5&amp;"\"&amp;"BE-5453RAN"&amp;U14&amp;" "&amp;"STAFF LOAN DIFF"&amp;" "&amp;U16&amp;".xls"</f>
        <v>C:\Users\RB-MU_Robot_PCG_01\Desktop\STAFF LOAN IMPAIRMENT\datafile\11 Nov 2020\BE-5453RAN11 STAFF LOAN DIFF 1120.xls</v>
      </c>
      <c r="F40" s="23" t="str">
        <f>"BE-5453RAN"&amp;U14&amp;" "&amp;"STAFF LOAN DIFF"&amp;" "&amp;U16&amp;".xls"</f>
        <v>BE-5453RAN11 STAFF LOAN DIFF 1120.xls</v>
      </c>
    </row>
    <row r="41" spans="3:8">
      <c r="C41" s="52"/>
      <c r="D41" s="24" t="s">
        <v>21</v>
      </c>
      <c r="E41" s="23" t="str">
        <f ca="1">(LEFT(CELL("filename",A2),SEARCH("[",CELL("filename",A2))-1))&amp;"datafile\"&amp;Q5&amp;"\"&amp;"BE-5453RAN"&amp;Q14&amp;" "&amp;"STAFF LOAN DIFF"&amp;" "&amp;Q16&amp;".xls"</f>
        <v>C:\Users\RB-MU_Robot_PCG_01\Desktop\STAFF LOAN IMPAIRMENT\datafile\12 Dec 2020\BE-5453RAN12 STAFF LOAN DIFF 1220.xls</v>
      </c>
      <c r="F41" s="23" t="str">
        <f>"BE-5453RAN"&amp;Q14&amp;" "&amp;"STAFF LOAN DIFF"&amp;" "&amp;Q16&amp;".xls"</f>
        <v>BE-5453RAN12 STAFF LOAN DIFF 1220.xls</v>
      </c>
    </row>
    <row r="43" spans="3:8">
      <c r="D43" s="28" t="s">
        <v>36</v>
      </c>
      <c r="E43" s="29" t="str">
        <f ca="1">(LEFT(CELL("filename",A2),SEARCH("[",CELL("filename",A2))-1))&amp;"checkOnshore\"&amp;Q17&amp;""</f>
        <v>C:\Users\RB-MU_Robot_PCG_01\Desktop\STAFF LOAN IMPAIRMENT\checkOnshore\December</v>
      </c>
      <c r="F43" s="14"/>
    </row>
    <row r="44" spans="3:8">
      <c r="D44" s="12"/>
      <c r="E44" s="14"/>
      <c r="F44" s="14"/>
    </row>
    <row r="45" spans="3:8">
      <c r="D45" s="12"/>
      <c r="E45" s="14"/>
      <c r="F45" s="14"/>
    </row>
    <row r="46" spans="3:8">
      <c r="D46" s="12"/>
      <c r="E46" s="32"/>
      <c r="F46" s="14"/>
    </row>
    <row r="47" spans="3:8">
      <c r="D47" s="12"/>
      <c r="E47" s="14"/>
      <c r="F47" s="14"/>
    </row>
    <row r="48" spans="3:8">
      <c r="D48" s="12"/>
      <c r="E48" s="14"/>
      <c r="F48" s="14"/>
    </row>
    <row r="49" spans="4:6">
      <c r="D49" s="12"/>
      <c r="E49" s="14"/>
      <c r="F49" s="14"/>
    </row>
    <row r="50" spans="4:6">
      <c r="D50" s="12"/>
      <c r="E50" s="32"/>
      <c r="F50" s="14"/>
    </row>
    <row r="51" spans="4:6">
      <c r="D51" s="12"/>
      <c r="E51" s="14"/>
      <c r="F51" s="14"/>
    </row>
    <row r="54" spans="4:6">
      <c r="E54" s="6"/>
    </row>
  </sheetData>
  <mergeCells count="3">
    <mergeCell ref="C14:C16"/>
    <mergeCell ref="C40:C41"/>
    <mergeCell ref="P2:U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12"/>
  <sheetViews>
    <sheetView topLeftCell="A95" workbookViewId="0">
      <selection activeCell="C107" sqref="C107"/>
    </sheetView>
  </sheetViews>
  <sheetFormatPr defaultRowHeight="15"/>
  <cols>
    <col min="3" max="3" width="62.28515625" customWidth="1"/>
  </cols>
  <sheetData>
    <row r="2" spans="2:5">
      <c r="B2" s="30" t="s">
        <v>38</v>
      </c>
      <c r="C2" s="31" t="s">
        <v>58</v>
      </c>
    </row>
    <row r="3" spans="2:5">
      <c r="B3" s="30" t="s">
        <v>39</v>
      </c>
      <c r="C3" s="31" t="s">
        <v>58</v>
      </c>
    </row>
    <row r="4" spans="2:5">
      <c r="B4" s="30" t="s">
        <v>40</v>
      </c>
      <c r="C4" s="10"/>
    </row>
    <row r="5" spans="2:5">
      <c r="B5" s="30" t="s">
        <v>41</v>
      </c>
      <c r="C5" s="10" t="s">
        <v>43</v>
      </c>
    </row>
    <row r="7" spans="2:5">
      <c r="B7" s="30" t="s">
        <v>42</v>
      </c>
      <c r="C7" s="14" t="s">
        <v>45</v>
      </c>
      <c r="D7" s="14"/>
      <c r="E7" s="14"/>
    </row>
    <row r="8" spans="2:5">
      <c r="C8" s="14"/>
      <c r="D8" s="14"/>
      <c r="E8" s="14"/>
    </row>
    <row r="9" spans="2:5">
      <c r="C9" s="14" t="s">
        <v>46</v>
      </c>
      <c r="D9" s="14"/>
      <c r="E9" s="14"/>
    </row>
    <row r="10" spans="2:5">
      <c r="C10" s="14"/>
      <c r="D10" s="14"/>
      <c r="E10" s="14"/>
    </row>
    <row r="11" spans="2:5">
      <c r="C11" s="14" t="s">
        <v>47</v>
      </c>
      <c r="D11" s="14"/>
      <c r="E11" s="14"/>
    </row>
    <row r="12" spans="2:5">
      <c r="C12" s="14" t="s">
        <v>44</v>
      </c>
      <c r="D12" s="14"/>
      <c r="E12" s="14"/>
    </row>
    <row r="13" spans="2:5">
      <c r="C13" s="14"/>
      <c r="D13" s="14"/>
      <c r="E13" s="14"/>
    </row>
    <row r="14" spans="2:5">
      <c r="C14" s="14"/>
      <c r="D14" s="14"/>
      <c r="E14" s="14"/>
    </row>
    <row r="15" spans="2:5">
      <c r="C15" s="14"/>
      <c r="D15" s="14"/>
      <c r="E15" s="14"/>
    </row>
    <row r="16" spans="2:5">
      <c r="C16" s="14"/>
      <c r="D16" s="14"/>
      <c r="E16" s="14"/>
    </row>
    <row r="17" spans="2:5">
      <c r="B17" s="30" t="s">
        <v>42</v>
      </c>
      <c r="C17" s="14" t="s">
        <v>48</v>
      </c>
      <c r="D17" s="14"/>
      <c r="E17" s="14"/>
    </row>
    <row r="18" spans="2:5">
      <c r="C18" s="14"/>
      <c r="D18" s="14"/>
      <c r="E18" s="14"/>
    </row>
    <row r="19" spans="2:5">
      <c r="C19" s="14" t="s">
        <v>46</v>
      </c>
      <c r="D19" s="14"/>
      <c r="E19" s="14"/>
    </row>
    <row r="20" spans="2:5">
      <c r="C20" s="14"/>
      <c r="D20" s="14"/>
      <c r="E20" s="14"/>
    </row>
    <row r="21" spans="2:5">
      <c r="C21" s="14" t="s">
        <v>47</v>
      </c>
      <c r="D21" s="14"/>
      <c r="E21" s="14"/>
    </row>
    <row r="22" spans="2:5">
      <c r="C22" s="14" t="s">
        <v>44</v>
      </c>
      <c r="D22" s="14"/>
      <c r="E22" s="14"/>
    </row>
    <row r="23" spans="2:5">
      <c r="C23" s="14"/>
      <c r="D23" s="14"/>
      <c r="E23" s="14"/>
    </row>
    <row r="24" spans="2:5">
      <c r="C24" s="14"/>
      <c r="D24" s="14"/>
      <c r="E24" s="14"/>
    </row>
    <row r="25" spans="2:5">
      <c r="C25" s="14"/>
      <c r="D25" s="14"/>
      <c r="E25" s="14"/>
    </row>
    <row r="26" spans="2:5">
      <c r="C26" s="14"/>
      <c r="D26" s="14"/>
      <c r="E26" s="14"/>
    </row>
    <row r="27" spans="2:5">
      <c r="B27" s="30" t="s">
        <v>42</v>
      </c>
      <c r="C27" s="14" t="s">
        <v>49</v>
      </c>
      <c r="D27" s="14"/>
      <c r="E27" s="14"/>
    </row>
    <row r="28" spans="2:5">
      <c r="C28" s="14"/>
      <c r="D28" s="14"/>
      <c r="E28" s="14"/>
    </row>
    <row r="29" spans="2:5">
      <c r="C29" s="14" t="s">
        <v>46</v>
      </c>
      <c r="D29" s="14"/>
      <c r="E29" s="14"/>
    </row>
    <row r="30" spans="2:5">
      <c r="C30" s="33"/>
      <c r="D30" s="14"/>
      <c r="E30" s="14"/>
    </row>
    <row r="31" spans="2:5">
      <c r="C31" s="14" t="s">
        <v>47</v>
      </c>
      <c r="D31" s="14"/>
      <c r="E31" s="14"/>
    </row>
    <row r="32" spans="2:5">
      <c r="C32" s="14" t="s">
        <v>44</v>
      </c>
      <c r="D32" s="14"/>
      <c r="E32" s="14"/>
    </row>
    <row r="33" spans="2:5">
      <c r="C33" s="14"/>
      <c r="D33" s="14"/>
      <c r="E33" s="14"/>
    </row>
    <row r="34" spans="2:5">
      <c r="C34" s="14"/>
      <c r="D34" s="14"/>
      <c r="E34" s="14"/>
    </row>
    <row r="35" spans="2:5">
      <c r="C35" s="14"/>
      <c r="D35" s="14"/>
      <c r="E35" s="14"/>
    </row>
    <row r="36" spans="2:5">
      <c r="C36" s="14"/>
      <c r="D36" s="14"/>
      <c r="E36" s="14"/>
    </row>
    <row r="37" spans="2:5">
      <c r="B37" s="30" t="s">
        <v>42</v>
      </c>
      <c r="C37" s="14" t="s">
        <v>50</v>
      </c>
      <c r="D37" s="14"/>
      <c r="E37" s="14"/>
    </row>
    <row r="38" spans="2:5">
      <c r="C38" s="14"/>
      <c r="D38" s="14"/>
      <c r="E38" s="14"/>
    </row>
    <row r="39" spans="2:5">
      <c r="C39" s="14" t="s">
        <v>46</v>
      </c>
      <c r="D39" s="14"/>
      <c r="E39" s="14"/>
    </row>
    <row r="40" spans="2:5">
      <c r="C40" s="14"/>
      <c r="D40" s="14"/>
      <c r="E40" s="14"/>
    </row>
    <row r="41" spans="2:5">
      <c r="C41" s="14" t="s">
        <v>47</v>
      </c>
      <c r="D41" s="14"/>
      <c r="E41" s="14"/>
    </row>
    <row r="42" spans="2:5">
      <c r="C42" s="14" t="s">
        <v>44</v>
      </c>
      <c r="D42" s="14"/>
      <c r="E42" s="14"/>
    </row>
    <row r="43" spans="2:5">
      <c r="C43" s="14"/>
      <c r="D43" s="14"/>
      <c r="E43" s="14"/>
    </row>
    <row r="44" spans="2:5">
      <c r="C44" s="14"/>
      <c r="D44" s="14"/>
      <c r="E44" s="14"/>
    </row>
    <row r="45" spans="2:5">
      <c r="C45" s="14"/>
      <c r="D45" s="14"/>
      <c r="E45" s="14"/>
    </row>
    <row r="46" spans="2:5">
      <c r="C46" s="14"/>
      <c r="D46" s="14"/>
      <c r="E46" s="14"/>
    </row>
    <row r="47" spans="2:5">
      <c r="B47" s="30" t="s">
        <v>42</v>
      </c>
      <c r="C47" s="14" t="s">
        <v>60</v>
      </c>
      <c r="D47" s="14"/>
      <c r="E47" s="14"/>
    </row>
    <row r="48" spans="2:5">
      <c r="C48" s="14"/>
      <c r="D48" s="14"/>
      <c r="E48" s="14"/>
    </row>
    <row r="49" spans="2:5">
      <c r="C49" s="14" t="s">
        <v>46</v>
      </c>
      <c r="D49" s="14"/>
      <c r="E49" s="14"/>
    </row>
    <row r="50" spans="2:5">
      <c r="C50" s="14"/>
      <c r="D50" s="14"/>
      <c r="E50" s="14"/>
    </row>
    <row r="51" spans="2:5">
      <c r="C51" s="14" t="s">
        <v>47</v>
      </c>
      <c r="D51" s="14"/>
      <c r="E51" s="14"/>
    </row>
    <row r="52" spans="2:5">
      <c r="C52" s="14" t="s">
        <v>44</v>
      </c>
      <c r="D52" s="14"/>
      <c r="E52" s="14"/>
    </row>
    <row r="53" spans="2:5">
      <c r="C53" s="14"/>
      <c r="D53" s="14"/>
      <c r="E53" s="14"/>
    </row>
    <row r="54" spans="2:5">
      <c r="C54" s="14"/>
      <c r="D54" s="14"/>
      <c r="E54" s="14"/>
    </row>
    <row r="55" spans="2:5">
      <c r="C55" s="14"/>
      <c r="D55" s="14"/>
      <c r="E55" s="14"/>
    </row>
    <row r="56" spans="2:5">
      <c r="C56" s="14"/>
      <c r="D56" s="14"/>
      <c r="E56" s="14"/>
    </row>
    <row r="57" spans="2:5">
      <c r="B57" s="30" t="s">
        <v>42</v>
      </c>
      <c r="C57" s="14" t="s">
        <v>61</v>
      </c>
      <c r="D57" s="14"/>
      <c r="E57" s="14"/>
    </row>
    <row r="58" spans="2:5">
      <c r="C58" s="14"/>
      <c r="D58" s="14"/>
      <c r="E58" s="14"/>
    </row>
    <row r="59" spans="2:5">
      <c r="C59" s="14" t="s">
        <v>46</v>
      </c>
      <c r="D59" s="14"/>
      <c r="E59" s="14"/>
    </row>
    <row r="60" spans="2:5">
      <c r="C60" s="14"/>
      <c r="D60" s="14"/>
      <c r="E60" s="14"/>
    </row>
    <row r="61" spans="2:5">
      <c r="C61" s="14" t="s">
        <v>47</v>
      </c>
      <c r="D61" s="14"/>
      <c r="E61" s="14"/>
    </row>
    <row r="62" spans="2:5">
      <c r="C62" s="14" t="s">
        <v>44</v>
      </c>
      <c r="D62" s="14"/>
      <c r="E62" s="14"/>
    </row>
    <row r="63" spans="2:5">
      <c r="C63" s="14"/>
      <c r="D63" s="14"/>
      <c r="E63" s="14"/>
    </row>
    <row r="64" spans="2:5">
      <c r="C64" s="14"/>
      <c r="D64" s="14"/>
      <c r="E64" s="14"/>
    </row>
    <row r="65" spans="2:5">
      <c r="C65" s="14"/>
      <c r="D65" s="14"/>
      <c r="E65" s="14"/>
    </row>
    <row r="66" spans="2:5">
      <c r="C66" s="14"/>
      <c r="D66" s="14"/>
      <c r="E66" s="14"/>
    </row>
    <row r="67" spans="2:5">
      <c r="B67" s="30" t="s">
        <v>42</v>
      </c>
      <c r="C67" s="14" t="s">
        <v>51</v>
      </c>
      <c r="D67" s="14"/>
      <c r="E67" s="14"/>
    </row>
    <row r="68" spans="2:5">
      <c r="C68" s="14"/>
      <c r="D68" s="14"/>
      <c r="E68" s="14"/>
    </row>
    <row r="69" spans="2:5">
      <c r="C69" s="14" t="s">
        <v>46</v>
      </c>
      <c r="D69" s="14"/>
      <c r="E69" s="14"/>
    </row>
    <row r="70" spans="2:5">
      <c r="C70" s="14"/>
      <c r="D70" s="14"/>
      <c r="E70" s="14"/>
    </row>
    <row r="71" spans="2:5">
      <c r="C71" s="14" t="s">
        <v>47</v>
      </c>
      <c r="D71" s="14"/>
      <c r="E71" s="14"/>
    </row>
    <row r="72" spans="2:5">
      <c r="C72" s="14" t="s">
        <v>44</v>
      </c>
      <c r="D72" s="14"/>
      <c r="E72" s="14"/>
    </row>
    <row r="73" spans="2:5">
      <c r="C73" s="14"/>
      <c r="D73" s="14"/>
      <c r="E73" s="14"/>
    </row>
    <row r="74" spans="2:5">
      <c r="C74" s="14"/>
      <c r="D74" s="14"/>
      <c r="E74" s="14"/>
    </row>
    <row r="75" spans="2:5">
      <c r="C75" s="14"/>
      <c r="D75" s="14"/>
      <c r="E75" s="14"/>
    </row>
    <row r="76" spans="2:5">
      <c r="C76" s="14"/>
      <c r="D76" s="14"/>
      <c r="E76" s="14"/>
    </row>
    <row r="77" spans="2:5">
      <c r="B77" s="30" t="s">
        <v>42</v>
      </c>
      <c r="C77" s="14" t="s">
        <v>59</v>
      </c>
      <c r="D77" s="14"/>
      <c r="E77" s="14"/>
    </row>
    <row r="78" spans="2:5">
      <c r="C78" s="14"/>
      <c r="D78" s="14"/>
      <c r="E78" s="14"/>
    </row>
    <row r="79" spans="2:5">
      <c r="C79" s="14" t="s">
        <v>46</v>
      </c>
      <c r="D79" s="14"/>
      <c r="E79" s="14"/>
    </row>
    <row r="80" spans="2:5">
      <c r="C80" s="14"/>
      <c r="D80" s="14"/>
      <c r="E80" s="14"/>
    </row>
    <row r="81" spans="2:5">
      <c r="C81" s="14" t="s">
        <v>47</v>
      </c>
      <c r="D81" s="14"/>
      <c r="E81" s="14"/>
    </row>
    <row r="82" spans="2:5">
      <c r="C82" s="14" t="s">
        <v>44</v>
      </c>
      <c r="D82" s="14"/>
      <c r="E82" s="14"/>
    </row>
    <row r="83" spans="2:5">
      <c r="C83" s="14"/>
      <c r="D83" s="14"/>
      <c r="E83" s="14"/>
    </row>
    <row r="84" spans="2:5">
      <c r="C84" s="14"/>
      <c r="D84" s="14"/>
      <c r="E84" s="14"/>
    </row>
    <row r="85" spans="2:5">
      <c r="C85" s="14"/>
      <c r="D85" s="14"/>
      <c r="E85" s="14"/>
    </row>
    <row r="86" spans="2:5">
      <c r="C86" s="14"/>
      <c r="D86" s="14"/>
      <c r="E86" s="14"/>
    </row>
    <row r="87" spans="2:5">
      <c r="B87" s="30" t="s">
        <v>42</v>
      </c>
      <c r="C87" s="14" t="s">
        <v>52</v>
      </c>
      <c r="D87" s="14"/>
      <c r="E87" s="14"/>
    </row>
    <row r="88" spans="2:5">
      <c r="C88" s="14"/>
    </row>
    <row r="89" spans="2:5">
      <c r="C89" s="14" t="s">
        <v>46</v>
      </c>
    </row>
    <row r="90" spans="2:5">
      <c r="C90" s="14"/>
    </row>
    <row r="91" spans="2:5">
      <c r="C91" s="14" t="s">
        <v>47</v>
      </c>
    </row>
    <row r="92" spans="2:5">
      <c r="C92" s="14" t="s">
        <v>44</v>
      </c>
    </row>
    <row r="97" spans="2:3">
      <c r="B97" s="30" t="s">
        <v>42</v>
      </c>
      <c r="C97" s="14" t="s">
        <v>53</v>
      </c>
    </row>
    <row r="98" spans="2:3">
      <c r="C98" s="14"/>
    </row>
    <row r="99" spans="2:3">
      <c r="C99" s="14" t="s">
        <v>46</v>
      </c>
    </row>
    <row r="100" spans="2:3">
      <c r="C100" s="14"/>
    </row>
    <row r="101" spans="2:3">
      <c r="C101" s="14" t="s">
        <v>47</v>
      </c>
    </row>
    <row r="102" spans="2:3">
      <c r="C102" s="14" t="s">
        <v>44</v>
      </c>
    </row>
    <row r="107" spans="2:3">
      <c r="B107" s="30" t="s">
        <v>42</v>
      </c>
      <c r="C107" s="14" t="s">
        <v>86</v>
      </c>
    </row>
    <row r="108" spans="2:3">
      <c r="C108" s="14"/>
    </row>
    <row r="109" spans="2:3">
      <c r="C109" s="14" t="s">
        <v>46</v>
      </c>
    </row>
    <row r="110" spans="2:3">
      <c r="C110" s="14"/>
    </row>
    <row r="111" spans="2:3">
      <c r="C111" s="14" t="s">
        <v>47</v>
      </c>
    </row>
    <row r="112" spans="2:3">
      <c r="C112" s="14" t="s">
        <v>44</v>
      </c>
    </row>
  </sheetData>
  <hyperlinks>
    <hyperlink ref="C2" r:id="rId1"/>
    <hyperlink ref="C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Email Configuration</vt:lpstr>
    </vt:vector>
  </TitlesOfParts>
  <Company>Barclays Africa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 Kwong Wan Man Chung Robotics - RB-MU_Robot_PCG_01</dc:creator>
  <cp:lastModifiedBy>Fa Kwong Wan Man Chung Robotics - RB-MU_Robot_PCG_01</cp:lastModifiedBy>
  <dcterms:created xsi:type="dcterms:W3CDTF">2020-06-16T07:15:17Z</dcterms:created>
  <dcterms:modified xsi:type="dcterms:W3CDTF">2021-01-21T06:54:13Z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ef23b82a-fa8c-423d-a454-1435252fe8c3</vt:lpwstr>
  </property>
  <property fmtid="{D5CDD505-2E9C-101B-9397-08002B2CF9AE}" pid="3" name="TitusClassification">
    <vt:lpwstr>TitusRestricted</vt:lpwstr>
  </property>
</Properties>
</file>